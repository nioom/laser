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ocuments\mos\laser\"/>
    </mc:Choice>
  </mc:AlternateContent>
  <xr:revisionPtr revIDLastSave="0" documentId="13_ncr:1_{B17EC080-3A41-45BA-ADBB-E19654742E94}" xr6:coauthVersionLast="47" xr6:coauthVersionMax="47" xr10:uidLastSave="{00000000-0000-0000-0000-000000000000}"/>
  <bookViews>
    <workbookView xWindow="-108" yWindow="-108" windowWidth="23256" windowHeight="12456" activeTab="3" xr2:uid="{C786B773-E517-459C-88A4-5CBE983CE902}"/>
  </bookViews>
  <sheets>
    <sheet name="Wartości" sheetId="1" r:id="rId1"/>
    <sheet name="Obliczenia" sheetId="3" r:id="rId2"/>
    <sheet name="Dokumentacja" sheetId="2" r:id="rId3"/>
    <sheet name="BO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4" l="1"/>
  <c r="H21" i="4"/>
  <c r="H22" i="4"/>
  <c r="H20" i="4"/>
  <c r="H4" i="4"/>
  <c r="H5" i="4"/>
  <c r="H6" i="4"/>
  <c r="H7" i="4"/>
  <c r="H8" i="4"/>
  <c r="H9" i="4"/>
  <c r="H10" i="4"/>
  <c r="H11" i="4"/>
  <c r="H12" i="4"/>
  <c r="H13" i="4"/>
  <c r="H14" i="4"/>
  <c r="H16" i="4"/>
  <c r="H17" i="4"/>
  <c r="H18" i="4"/>
  <c r="H19" i="4"/>
  <c r="H15" i="4"/>
  <c r="C29" i="1"/>
  <c r="C32" i="1"/>
  <c r="C31" i="1"/>
  <c r="D13" i="3"/>
  <c r="C30" i="1"/>
  <c r="D11" i="3"/>
  <c r="D6" i="3"/>
  <c r="D8" i="3" s="1"/>
  <c r="D5" i="3"/>
  <c r="C28" i="1"/>
  <c r="D4" i="3"/>
  <c r="D3" i="3"/>
  <c r="H24" i="4" l="1"/>
  <c r="D12" i="3"/>
  <c r="D9" i="3"/>
  <c r="D10" i="3" s="1"/>
  <c r="D7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<sst xmlns="http://schemas.openxmlformats.org/spreadsheetml/2006/main" count="218" uniqueCount="141">
  <si>
    <t>Nazwa</t>
  </si>
  <si>
    <t>Link</t>
  </si>
  <si>
    <t>https://www.ti.com/lit/ds/symlink/tps922051.pdf?ts=1765485444840&amp;ref_url=https%3A%2F%2Fwww.ti.com%2Fproduct%2FTPS922051</t>
  </si>
  <si>
    <t>TPS922051</t>
  </si>
  <si>
    <t>Dioda NDG7475</t>
  </si>
  <si>
    <t>https://www.laserpointeur.com/c-40_104-p-10364.html</t>
  </si>
  <si>
    <t>https://sites.google.com/site/dtrslasershop/dtrs-shop/diodes/ndg7475-1w-520nm</t>
  </si>
  <si>
    <t>Wartość</t>
  </si>
  <si>
    <t>Opis</t>
  </si>
  <si>
    <t>V</t>
  </si>
  <si>
    <t>A</t>
  </si>
  <si>
    <t>napięcie na diodzie</t>
  </si>
  <si>
    <t>częstotliwość przełączania</t>
  </si>
  <si>
    <t>prąd na diodzie</t>
  </si>
  <si>
    <t>max. prąd tętnienia na diodzie</t>
  </si>
  <si>
    <t>napięcie referencyjne</t>
  </si>
  <si>
    <t>[ ]</t>
  </si>
  <si>
    <t>kHz</t>
  </si>
  <si>
    <t>Pozostałe specyfikacje</t>
  </si>
  <si>
    <t>16V</t>
  </si>
  <si>
    <t>Ω</t>
  </si>
  <si>
    <t>nF</t>
  </si>
  <si>
    <t>50V X7R ceramiczny</t>
  </si>
  <si>
    <t>rezystor filtrujący</t>
  </si>
  <si>
    <t>kondensator filtrujący</t>
  </si>
  <si>
    <t>stabilizacja regulatora</t>
  </si>
  <si>
    <t>rezystor kompensacyjny</t>
  </si>
  <si>
    <t>kondensator kompensacyjny</t>
  </si>
  <si>
    <t>10V X7R ceramiczny</t>
  </si>
  <si>
    <t>&lt;- można zmieniać</t>
  </si>
  <si>
    <t>kΩ</t>
  </si>
  <si>
    <t>kompensacja common-mode leakage</t>
  </si>
  <si>
    <t>napięcie na wejściu</t>
  </si>
  <si>
    <r>
      <t>f</t>
    </r>
    <r>
      <rPr>
        <vertAlign val="subscript"/>
        <sz val="14"/>
        <color theme="1"/>
        <rFont val="Aptos Narrow"/>
        <family val="2"/>
        <scheme val="minor"/>
      </rPr>
      <t>SW</t>
    </r>
  </si>
  <si>
    <r>
      <t>U</t>
    </r>
    <r>
      <rPr>
        <vertAlign val="subscript"/>
        <sz val="14"/>
        <color theme="1"/>
        <rFont val="Aptos Narrow"/>
        <family val="2"/>
        <scheme val="minor"/>
      </rPr>
      <t>IN</t>
    </r>
  </si>
  <si>
    <r>
      <t>U</t>
    </r>
    <r>
      <rPr>
        <vertAlign val="subscript"/>
        <sz val="14"/>
        <color theme="1"/>
        <rFont val="Aptos Narrow"/>
        <family val="2"/>
        <scheme val="minor"/>
      </rPr>
      <t>OUT</t>
    </r>
  </si>
  <si>
    <r>
      <t>I</t>
    </r>
    <r>
      <rPr>
        <vertAlign val="subscript"/>
        <sz val="14"/>
        <color theme="1"/>
        <rFont val="Aptos Narrow"/>
        <family val="2"/>
        <scheme val="minor"/>
      </rPr>
      <t>LED</t>
    </r>
  </si>
  <si>
    <r>
      <t>U</t>
    </r>
    <r>
      <rPr>
        <vertAlign val="subscript"/>
        <sz val="14"/>
        <color theme="1"/>
        <rFont val="Aptos Narrow"/>
        <family val="2"/>
        <scheme val="minor"/>
      </rPr>
      <t>REF</t>
    </r>
  </si>
  <si>
    <t>µF</t>
  </si>
  <si>
    <r>
      <t>K</t>
    </r>
    <r>
      <rPr>
        <vertAlign val="subscript"/>
        <sz val="14"/>
        <color theme="1"/>
        <rFont val="Aptos Narrow"/>
        <family val="2"/>
        <scheme val="minor"/>
      </rPr>
      <t>IND</t>
    </r>
  </si>
  <si>
    <t>Wzór</t>
  </si>
  <si>
    <t>Wynik</t>
  </si>
  <si>
    <t>Wybrana wartość</t>
  </si>
  <si>
    <r>
      <t>R</t>
    </r>
    <r>
      <rPr>
        <vertAlign val="subscript"/>
        <sz val="14"/>
        <color theme="1"/>
        <rFont val="Aptos Narrow"/>
        <family val="2"/>
        <scheme val="minor"/>
      </rPr>
      <t>5</t>
    </r>
    <r>
      <rPr>
        <sz val="14"/>
        <color theme="1"/>
        <rFont val="Aptos Narrow"/>
        <family val="2"/>
        <scheme val="minor"/>
      </rPr>
      <t xml:space="preserve"> / R</t>
    </r>
    <r>
      <rPr>
        <vertAlign val="subscript"/>
        <sz val="14"/>
        <color theme="1"/>
        <rFont val="Aptos Narrow"/>
        <family val="2"/>
        <scheme val="minor"/>
      </rPr>
      <t>SENSE</t>
    </r>
  </si>
  <si>
    <t>rezystor ograniczający prąd na diodzie</t>
  </si>
  <si>
    <t>W</t>
  </si>
  <si>
    <t>moc na nim wydzielana</t>
  </si>
  <si>
    <t>0,5 W</t>
  </si>
  <si>
    <t>L</t>
  </si>
  <si>
    <r>
      <t>indukcyjność cewki (I</t>
    </r>
    <r>
      <rPr>
        <vertAlign val="subscript"/>
        <sz val="14"/>
        <color theme="1"/>
        <rFont val="Aptos Narrow"/>
        <family val="2"/>
        <scheme val="minor"/>
      </rPr>
      <t>L(max)</t>
    </r>
    <r>
      <rPr>
        <sz val="14"/>
        <color theme="1"/>
        <rFont val="Aptos Narrow"/>
        <family val="2"/>
        <scheme val="minor"/>
      </rPr>
      <t xml:space="preserve"> = I</t>
    </r>
    <r>
      <rPr>
        <vertAlign val="subscript"/>
        <sz val="14"/>
        <color theme="1"/>
        <rFont val="Aptos Narrow"/>
        <family val="2"/>
        <scheme val="minor"/>
      </rPr>
      <t>LED</t>
    </r>
    <r>
      <rPr>
        <sz val="14"/>
        <color theme="1"/>
        <rFont val="Aptos Narrow"/>
        <family val="2"/>
        <scheme val="minor"/>
      </rPr>
      <t>)</t>
    </r>
  </si>
  <si>
    <t>indukcyjność cewki</t>
  </si>
  <si>
    <r>
      <t>I</t>
    </r>
    <r>
      <rPr>
        <vertAlign val="subscript"/>
        <sz val="14"/>
        <color theme="1"/>
        <rFont val="Aptos Narrow"/>
        <family val="2"/>
        <scheme val="minor"/>
      </rPr>
      <t>L(ripple)</t>
    </r>
  </si>
  <si>
    <r>
      <t>tętnienie prądu na cewce, powinno być &lt; 30%I</t>
    </r>
    <r>
      <rPr>
        <vertAlign val="subscript"/>
        <sz val="14"/>
        <color theme="1"/>
        <rFont val="Aptos Narrow"/>
        <family val="2"/>
        <scheme val="minor"/>
      </rPr>
      <t>LED</t>
    </r>
    <r>
      <rPr>
        <sz val="14"/>
        <color theme="1"/>
        <rFont val="Aptos Narrow"/>
        <family val="2"/>
        <scheme val="minor"/>
      </rPr>
      <t xml:space="preserve"> = 0,54A</t>
    </r>
  </si>
  <si>
    <r>
      <t>I</t>
    </r>
    <r>
      <rPr>
        <vertAlign val="subscript"/>
        <sz val="14"/>
        <color theme="1"/>
        <rFont val="Aptos Narrow"/>
        <family val="2"/>
        <scheme val="minor"/>
      </rPr>
      <t>L(rms)</t>
    </r>
  </si>
  <si>
    <r>
      <t>I</t>
    </r>
    <r>
      <rPr>
        <vertAlign val="subscript"/>
        <sz val="14"/>
        <color theme="1"/>
        <rFont val="Aptos Narrow"/>
        <family val="2"/>
        <scheme val="minor"/>
      </rPr>
      <t>L(peak)</t>
    </r>
  </si>
  <si>
    <t>prąd nasycenia powinien być większy niż to</t>
  </si>
  <si>
    <t>prąd znamionowy większy niż to</t>
  </si>
  <si>
    <t>25V/50V elektrolityczny</t>
  </si>
  <si>
    <t>25V/50V X7R ceramiczny</t>
  </si>
  <si>
    <t>główna pojemność*</t>
  </si>
  <si>
    <t>filtr tętnienia*</t>
  </si>
  <si>
    <t>filtr hf*</t>
  </si>
  <si>
    <r>
      <t>R</t>
    </r>
    <r>
      <rPr>
        <vertAlign val="subscript"/>
        <sz val="14"/>
        <color theme="1"/>
        <rFont val="Aptos Narrow"/>
        <family val="2"/>
        <scheme val="minor"/>
      </rPr>
      <t>LED</t>
    </r>
  </si>
  <si>
    <t>rezystancja dynamiczna diody, z wykresu</t>
  </si>
  <si>
    <r>
      <t>I</t>
    </r>
    <r>
      <rPr>
        <vertAlign val="subscript"/>
        <sz val="14"/>
        <color theme="1"/>
        <rFont val="Aptos Narrow"/>
        <family val="2"/>
        <scheme val="minor"/>
      </rPr>
      <t>LED(ripple)max</t>
    </r>
  </si>
  <si>
    <t>minimalna impedancja na kondensatorze wyjściowym</t>
  </si>
  <si>
    <r>
      <t>Z</t>
    </r>
    <r>
      <rPr>
        <vertAlign val="subscript"/>
        <sz val="14"/>
        <color theme="1"/>
        <rFont val="Aptos Narrow"/>
        <family val="2"/>
        <scheme val="minor"/>
      </rPr>
      <t xml:space="preserve">COUT </t>
    </r>
  </si>
  <si>
    <r>
      <t>Z</t>
    </r>
    <r>
      <rPr>
        <vertAlign val="subscript"/>
        <sz val="14"/>
        <color theme="1"/>
        <rFont val="Aptos Narrow"/>
        <family val="2"/>
        <scheme val="minor"/>
      </rPr>
      <t>COUT(real)</t>
    </r>
  </si>
  <si>
    <t>rzeczywista impedancja</t>
  </si>
  <si>
    <r>
      <t>I</t>
    </r>
    <r>
      <rPr>
        <vertAlign val="subscript"/>
        <sz val="14"/>
        <color theme="1"/>
        <rFont val="Aptos Narrow"/>
        <family val="2"/>
        <scheme val="minor"/>
      </rPr>
      <t>LED(ripple)</t>
    </r>
  </si>
  <si>
    <t>rzeczywiste tętnienie prądu LED (powinno być &lt; 0,02A)</t>
  </si>
  <si>
    <r>
      <t>C</t>
    </r>
    <r>
      <rPr>
        <vertAlign val="subscript"/>
        <sz val="14"/>
        <color theme="1"/>
        <rFont val="Aptos Narrow"/>
        <family val="2"/>
        <scheme val="minor"/>
      </rPr>
      <t>7</t>
    </r>
    <r>
      <rPr>
        <sz val="14"/>
        <color theme="1"/>
        <rFont val="Aptos Narrow"/>
        <family val="2"/>
        <scheme val="minor"/>
      </rPr>
      <t xml:space="preserve"> / C</t>
    </r>
    <r>
      <rPr>
        <vertAlign val="subscript"/>
        <sz val="14"/>
        <color theme="1"/>
        <rFont val="Aptos Narrow"/>
        <family val="2"/>
        <scheme val="minor"/>
      </rPr>
      <t>COUT</t>
    </r>
  </si>
  <si>
    <t>kondensator wyjściowy</t>
  </si>
  <si>
    <t>filtr hf na wyjściu</t>
  </si>
  <si>
    <r>
      <t>R</t>
    </r>
    <r>
      <rPr>
        <b/>
        <vertAlign val="subscript"/>
        <sz val="14"/>
        <color theme="1"/>
        <rFont val="Aptos Narrow"/>
        <family val="2"/>
        <scheme val="minor"/>
      </rPr>
      <t>5</t>
    </r>
    <r>
      <rPr>
        <b/>
        <sz val="14"/>
        <color theme="1"/>
        <rFont val="Aptos Narrow"/>
        <family val="2"/>
        <scheme val="minor"/>
      </rPr>
      <t xml:space="preserve"> / R</t>
    </r>
    <r>
      <rPr>
        <b/>
        <vertAlign val="subscript"/>
        <sz val="14"/>
        <color theme="1"/>
        <rFont val="Aptos Narrow"/>
        <family val="2"/>
        <scheme val="minor"/>
      </rPr>
      <t>SENSE</t>
    </r>
  </si>
  <si>
    <r>
      <t>C</t>
    </r>
    <r>
      <rPr>
        <b/>
        <vertAlign val="subscript"/>
        <sz val="14"/>
        <color theme="1"/>
        <rFont val="Aptos Narrow"/>
        <family val="2"/>
        <scheme val="minor"/>
      </rPr>
      <t>7</t>
    </r>
    <r>
      <rPr>
        <b/>
        <sz val="14"/>
        <color theme="1"/>
        <rFont val="Aptos Narrow"/>
        <family val="2"/>
        <scheme val="minor"/>
      </rPr>
      <t xml:space="preserve"> / C</t>
    </r>
    <r>
      <rPr>
        <b/>
        <vertAlign val="subscript"/>
        <sz val="14"/>
        <color theme="1"/>
        <rFont val="Aptos Narrow"/>
        <family val="2"/>
        <scheme val="minor"/>
      </rPr>
      <t>COUT</t>
    </r>
  </si>
  <si>
    <r>
      <t>C</t>
    </r>
    <r>
      <rPr>
        <b/>
        <vertAlign val="subscript"/>
        <sz val="14"/>
        <color theme="1"/>
        <rFont val="Aptos Narrow"/>
        <family val="2"/>
        <scheme val="minor"/>
      </rPr>
      <t>8</t>
    </r>
  </si>
  <si>
    <r>
      <t>C</t>
    </r>
    <r>
      <rPr>
        <b/>
        <vertAlign val="subscript"/>
        <sz val="14"/>
        <color theme="1"/>
        <rFont val="Aptos Narrow"/>
        <family val="2"/>
        <scheme val="minor"/>
      </rPr>
      <t>1</t>
    </r>
    <r>
      <rPr>
        <b/>
        <sz val="14"/>
        <color theme="1"/>
        <rFont val="Aptos Narrow"/>
        <family val="2"/>
        <scheme val="minor"/>
      </rPr>
      <t xml:space="preserve"> / C</t>
    </r>
    <r>
      <rPr>
        <b/>
        <vertAlign val="subscript"/>
        <sz val="14"/>
        <color theme="1"/>
        <rFont val="Aptos Narrow"/>
        <family val="2"/>
        <scheme val="minor"/>
      </rPr>
      <t>IN</t>
    </r>
  </si>
  <si>
    <r>
      <t>C</t>
    </r>
    <r>
      <rPr>
        <b/>
        <vertAlign val="subscript"/>
        <sz val="14"/>
        <color theme="1"/>
        <rFont val="Aptos Narrow"/>
        <family val="2"/>
        <scheme val="minor"/>
      </rPr>
      <t>2</t>
    </r>
    <r>
      <rPr>
        <b/>
        <sz val="14"/>
        <color theme="1"/>
        <rFont val="Aptos Narrow"/>
        <family val="2"/>
        <scheme val="minor"/>
      </rPr>
      <t xml:space="preserve"> / C</t>
    </r>
    <r>
      <rPr>
        <b/>
        <vertAlign val="subscript"/>
        <sz val="14"/>
        <color theme="1"/>
        <rFont val="Aptos Narrow"/>
        <family val="2"/>
        <scheme val="minor"/>
      </rPr>
      <t>IN</t>
    </r>
  </si>
  <si>
    <r>
      <t>C</t>
    </r>
    <r>
      <rPr>
        <b/>
        <vertAlign val="subscript"/>
        <sz val="14"/>
        <color theme="1"/>
        <rFont val="Aptos Narrow"/>
        <family val="2"/>
        <scheme val="minor"/>
      </rPr>
      <t>3</t>
    </r>
    <r>
      <rPr>
        <b/>
        <sz val="14"/>
        <color theme="1"/>
        <rFont val="Aptos Narrow"/>
        <family val="2"/>
        <scheme val="minor"/>
      </rPr>
      <t xml:space="preserve"> / C</t>
    </r>
    <r>
      <rPr>
        <b/>
        <vertAlign val="subscript"/>
        <sz val="14"/>
        <color theme="1"/>
        <rFont val="Aptos Narrow"/>
        <family val="2"/>
        <scheme val="minor"/>
      </rPr>
      <t>VIN</t>
    </r>
  </si>
  <si>
    <r>
      <t>C</t>
    </r>
    <r>
      <rPr>
        <b/>
        <vertAlign val="subscript"/>
        <sz val="14"/>
        <color theme="1"/>
        <rFont val="Aptos Narrow"/>
        <family val="2"/>
        <scheme val="minor"/>
      </rPr>
      <t xml:space="preserve">4 </t>
    </r>
    <r>
      <rPr>
        <b/>
        <sz val="14"/>
        <color theme="1"/>
        <rFont val="Aptos Narrow"/>
        <family val="2"/>
        <scheme val="minor"/>
      </rPr>
      <t>/ C</t>
    </r>
    <r>
      <rPr>
        <b/>
        <vertAlign val="subscript"/>
        <sz val="14"/>
        <color theme="1"/>
        <rFont val="Aptos Narrow"/>
        <family val="2"/>
        <scheme val="minor"/>
      </rPr>
      <t>VCC</t>
    </r>
  </si>
  <si>
    <r>
      <t>R</t>
    </r>
    <r>
      <rPr>
        <b/>
        <vertAlign val="subscript"/>
        <sz val="14"/>
        <color theme="1"/>
        <rFont val="Aptos Narrow"/>
        <family val="2"/>
        <scheme val="minor"/>
      </rPr>
      <t xml:space="preserve">4 </t>
    </r>
    <r>
      <rPr>
        <b/>
        <sz val="14"/>
        <color theme="1"/>
        <rFont val="Aptos Narrow"/>
        <family val="2"/>
        <scheme val="minor"/>
      </rPr>
      <t>/ R</t>
    </r>
    <r>
      <rPr>
        <b/>
        <vertAlign val="subscript"/>
        <sz val="14"/>
        <color theme="1"/>
        <rFont val="Aptos Narrow"/>
        <family val="2"/>
        <scheme val="minor"/>
      </rPr>
      <t>FLT</t>
    </r>
  </si>
  <si>
    <r>
      <t>C</t>
    </r>
    <r>
      <rPr>
        <b/>
        <vertAlign val="subscript"/>
        <sz val="14"/>
        <color theme="1"/>
        <rFont val="Aptos Narrow"/>
        <family val="2"/>
        <scheme val="minor"/>
      </rPr>
      <t xml:space="preserve">6 </t>
    </r>
    <r>
      <rPr>
        <b/>
        <sz val="14"/>
        <color theme="1"/>
        <rFont val="Aptos Narrow"/>
        <family val="2"/>
        <scheme val="minor"/>
      </rPr>
      <t>/ C</t>
    </r>
    <r>
      <rPr>
        <b/>
        <vertAlign val="subscript"/>
        <sz val="14"/>
        <color theme="1"/>
        <rFont val="Aptos Narrow"/>
        <family val="2"/>
        <scheme val="minor"/>
      </rPr>
      <t>FLT</t>
    </r>
  </si>
  <si>
    <r>
      <t>R</t>
    </r>
    <r>
      <rPr>
        <b/>
        <vertAlign val="subscript"/>
        <sz val="14"/>
        <color theme="1"/>
        <rFont val="Aptos Narrow"/>
        <family val="2"/>
        <scheme val="minor"/>
      </rPr>
      <t xml:space="preserve">3 </t>
    </r>
    <r>
      <rPr>
        <b/>
        <sz val="14"/>
        <color theme="1"/>
        <rFont val="Aptos Narrow"/>
        <family val="2"/>
        <scheme val="minor"/>
      </rPr>
      <t>/ R</t>
    </r>
    <r>
      <rPr>
        <b/>
        <vertAlign val="subscript"/>
        <sz val="14"/>
        <color theme="1"/>
        <rFont val="Aptos Narrow"/>
        <family val="2"/>
        <scheme val="minor"/>
      </rPr>
      <t>COMP</t>
    </r>
  </si>
  <si>
    <r>
      <t>C</t>
    </r>
    <r>
      <rPr>
        <b/>
        <vertAlign val="subscript"/>
        <sz val="14"/>
        <color theme="1"/>
        <rFont val="Aptos Narrow"/>
        <family val="2"/>
        <scheme val="minor"/>
      </rPr>
      <t xml:space="preserve">5 </t>
    </r>
    <r>
      <rPr>
        <b/>
        <sz val="14"/>
        <color theme="1"/>
        <rFont val="Aptos Narrow"/>
        <family val="2"/>
        <scheme val="minor"/>
      </rPr>
      <t>/ C</t>
    </r>
    <r>
      <rPr>
        <b/>
        <vertAlign val="subscript"/>
        <sz val="14"/>
        <color theme="1"/>
        <rFont val="Aptos Narrow"/>
        <family val="2"/>
        <scheme val="minor"/>
      </rPr>
      <t>COMP</t>
    </r>
  </si>
  <si>
    <r>
      <t>R</t>
    </r>
    <r>
      <rPr>
        <b/>
        <vertAlign val="subscript"/>
        <sz val="14"/>
        <color theme="1"/>
        <rFont val="Aptos Narrow"/>
        <family val="2"/>
        <scheme val="minor"/>
      </rPr>
      <t>6</t>
    </r>
    <r>
      <rPr>
        <b/>
        <sz val="14"/>
        <color theme="1"/>
        <rFont val="Aptos Narrow"/>
        <family val="2"/>
        <scheme val="minor"/>
      </rPr>
      <t xml:space="preserve"> / R</t>
    </r>
    <r>
      <rPr>
        <b/>
        <vertAlign val="subscript"/>
        <sz val="14"/>
        <color theme="1"/>
        <rFont val="Aptos Narrow"/>
        <family val="2"/>
        <scheme val="minor"/>
      </rPr>
      <t>LK_COMP</t>
    </r>
  </si>
  <si>
    <r>
      <t>U</t>
    </r>
    <r>
      <rPr>
        <vertAlign val="subscript"/>
        <sz val="14"/>
        <color theme="1"/>
        <rFont val="Aptos Narrow"/>
        <family val="2"/>
        <scheme val="minor"/>
      </rPr>
      <t>DIM</t>
    </r>
  </si>
  <si>
    <r>
      <t>U</t>
    </r>
    <r>
      <rPr>
        <vertAlign val="subscript"/>
        <sz val="14"/>
        <color theme="1"/>
        <rFont val="Aptos Narrow"/>
        <family val="2"/>
        <scheme val="minor"/>
      </rPr>
      <t>PANGOLIN</t>
    </r>
  </si>
  <si>
    <t>napięcie max. na pinie DIM</t>
  </si>
  <si>
    <r>
      <t>k</t>
    </r>
    <r>
      <rPr>
        <vertAlign val="subscript"/>
        <sz val="14"/>
        <color theme="1"/>
        <rFont val="Aptos Narrow"/>
        <family val="2"/>
        <scheme val="minor"/>
      </rPr>
      <t>PANGOLIN</t>
    </r>
  </si>
  <si>
    <t>współczynnik do dzielnika napięcia na pinie DIM</t>
  </si>
  <si>
    <r>
      <t>R</t>
    </r>
    <r>
      <rPr>
        <vertAlign val="subscript"/>
        <sz val="14"/>
        <color theme="1"/>
        <rFont val="Aptos Narrow"/>
        <family val="2"/>
        <scheme val="minor"/>
      </rPr>
      <t>1</t>
    </r>
  </si>
  <si>
    <r>
      <t>R</t>
    </r>
    <r>
      <rPr>
        <vertAlign val="subscript"/>
        <sz val="14"/>
        <color theme="1"/>
        <rFont val="Aptos Narrow"/>
        <family val="2"/>
        <scheme val="minor"/>
      </rPr>
      <t>2</t>
    </r>
  </si>
  <si>
    <t>proporcja</t>
  </si>
  <si>
    <t>dzielnik napięcia</t>
  </si>
  <si>
    <r>
      <t>R</t>
    </r>
    <r>
      <rPr>
        <b/>
        <vertAlign val="subscript"/>
        <sz val="14"/>
        <color theme="1"/>
        <rFont val="Aptos Narrow"/>
        <family val="2"/>
        <scheme val="minor"/>
      </rPr>
      <t>1</t>
    </r>
  </si>
  <si>
    <r>
      <t>R</t>
    </r>
    <r>
      <rPr>
        <b/>
        <vertAlign val="subscript"/>
        <sz val="14"/>
        <color theme="1"/>
        <rFont val="Aptos Narrow"/>
        <family val="2"/>
        <scheme val="minor"/>
      </rPr>
      <t>2</t>
    </r>
  </si>
  <si>
    <t>dzielnik napięcia na pinie DIM</t>
  </si>
  <si>
    <r>
      <t>R</t>
    </r>
    <r>
      <rPr>
        <b/>
        <vertAlign val="subscript"/>
        <sz val="14"/>
        <color theme="1"/>
        <rFont val="Aptos Narrow"/>
        <family val="2"/>
        <scheme val="minor"/>
      </rPr>
      <t>7</t>
    </r>
    <r>
      <rPr>
        <b/>
        <sz val="14"/>
        <color theme="1"/>
        <rFont val="Aptos Narrow"/>
        <family val="2"/>
        <scheme val="minor"/>
      </rPr>
      <t>, R</t>
    </r>
    <r>
      <rPr>
        <b/>
        <vertAlign val="subscript"/>
        <sz val="14"/>
        <color theme="1"/>
        <rFont val="Aptos Narrow"/>
        <family val="2"/>
        <scheme val="minor"/>
      </rPr>
      <t>8</t>
    </r>
    <r>
      <rPr>
        <b/>
        <sz val="14"/>
        <color theme="1"/>
        <rFont val="Aptos Narrow"/>
        <family val="2"/>
        <scheme val="minor"/>
      </rPr>
      <t>, R</t>
    </r>
    <r>
      <rPr>
        <b/>
        <vertAlign val="subscript"/>
        <sz val="14"/>
        <color theme="1"/>
        <rFont val="Aptos Narrow"/>
        <family val="2"/>
        <scheme val="minor"/>
      </rPr>
      <t>9</t>
    </r>
    <r>
      <rPr>
        <b/>
        <sz val="14"/>
        <color theme="1"/>
        <rFont val="Aptos Narrow"/>
        <family val="2"/>
        <scheme val="minor"/>
      </rPr>
      <t>, R</t>
    </r>
    <r>
      <rPr>
        <b/>
        <vertAlign val="subscript"/>
        <sz val="14"/>
        <color theme="1"/>
        <rFont val="Aptos Narrow"/>
        <family val="2"/>
        <scheme val="minor"/>
      </rPr>
      <t>10</t>
    </r>
  </si>
  <si>
    <t>opamp</t>
  </si>
  <si>
    <t>napięcie od pangolina</t>
  </si>
  <si>
    <t xml:space="preserve">    Z obliczeń (zmieniać na drugiej stronie):</t>
  </si>
  <si>
    <t>µH</t>
  </si>
  <si>
    <t>współczynnik tętnienia (limit 20% tętnienia)</t>
  </si>
  <si>
    <t>pojemność kondensatora wyjściowego x2</t>
  </si>
  <si>
    <t>wartość</t>
  </si>
  <si>
    <t>ilość</t>
  </si>
  <si>
    <t>jednostka</t>
  </si>
  <si>
    <t>cena za sztukę</t>
  </si>
  <si>
    <t>uF</t>
  </si>
  <si>
    <t>opis</t>
  </si>
  <si>
    <t>rezystor</t>
  </si>
  <si>
    <t>rezystor (0.5 W) pomiarowy</t>
  </si>
  <si>
    <t>dioda</t>
  </si>
  <si>
    <t>cewka</t>
  </si>
  <si>
    <t>uH</t>
  </si>
  <si>
    <t>op-amp</t>
  </si>
  <si>
    <t>MCP6001-OT</t>
  </si>
  <si>
    <t>stabilizator</t>
  </si>
  <si>
    <t>AMS1117</t>
  </si>
  <si>
    <t>driver</t>
  </si>
  <si>
    <t xml:space="preserve">potencjometr </t>
  </si>
  <si>
    <t>cena</t>
  </si>
  <si>
    <t>link</t>
  </si>
  <si>
    <t>uwagi</t>
  </si>
  <si>
    <t>digikey</t>
  </si>
  <si>
    <t>mouser</t>
  </si>
  <si>
    <t>TME</t>
  </si>
  <si>
    <t>na razie nie dostępny na mouser</t>
  </si>
  <si>
    <t>ilość min</t>
  </si>
  <si>
    <t>kondensator ceramiczny</t>
  </si>
  <si>
    <t>kondensator elektrolityczny</t>
  </si>
  <si>
    <t>kondensator ceramiczny X7R 25V</t>
  </si>
  <si>
    <t>konektor power</t>
  </si>
  <si>
    <t>konektor input</t>
  </si>
  <si>
    <t>konektor laser</t>
  </si>
  <si>
    <t>JST 3 pin</t>
  </si>
  <si>
    <t>JST 2 pin</t>
  </si>
  <si>
    <t>B340A</t>
  </si>
  <si>
    <t>bezpiecznik</t>
  </si>
  <si>
    <t>fast 2.5A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</si>
</sst>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E+00"/>
    <numFmt numFmtId="166" formatCode="0.0000"/>
  </numFmts>
  <fonts count="7" x14ac:knownFonts="1">
    <font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b/>
      <vertAlign val="subscript"/>
      <sz val="14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" fontId="1" fillId="0" borderId="1" xfId="0" applyNumberFormat="1" applyFont="1" applyBorder="1"/>
    <xf numFmtId="0" fontId="1" fillId="2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1" fillId="0" borderId="3" xfId="0" applyFont="1" applyBorder="1"/>
    <xf numFmtId="0" fontId="6" fillId="0" borderId="0" xfId="1"/>
    <xf numFmtId="0" fontId="6" fillId="3" borderId="0" xfId="1" applyFill="1"/>
    <xf numFmtId="0" fontId="6" fillId="0" borderId="0" xfId="1" applyFill="1"/>
    <xf numFmtId="0" fontId="0" fillId="4" borderId="0" xfId="0" applyFill="1"/>
    <xf numFmtId="0" fontId="2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8313</xdr:colOff>
      <xdr:row>3</xdr:row>
      <xdr:rowOff>116378</xdr:rowOff>
    </xdr:from>
    <xdr:to>
      <xdr:col>2</xdr:col>
      <xdr:colOff>1712422</xdr:colOff>
      <xdr:row>3</xdr:row>
      <xdr:rowOff>433617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850FB5-8297-CB51-7712-032ECE1A8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160" y="1122218"/>
          <a:ext cx="1704109" cy="3172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307571</xdr:colOff>
      <xdr:row>7</xdr:row>
      <xdr:rowOff>116379</xdr:rowOff>
    </xdr:to>
    <xdr:sp macro="" textlink="">
      <xdr:nvSpPr>
        <xdr:cNvPr id="1030" name="AutoShape 6" descr="Wybrany obraz wyświetlany w widoku lightbox.">
          <a:extLst>
            <a:ext uri="{FF2B5EF4-FFF2-40B4-BE49-F238E27FC236}">
              <a16:creationId xmlns:a16="http://schemas.microsoft.com/office/drawing/2014/main" id="{0AE9A357-2229-8B80-65C8-83CE5061D602}"/>
            </a:ext>
          </a:extLst>
        </xdr:cNvPr>
        <xdr:cNvSpPr>
          <a:spLocks noChangeAspect="1" noChangeArrowheads="1"/>
        </xdr:cNvSpPr>
      </xdr:nvSpPr>
      <xdr:spPr bwMode="auto">
        <a:xfrm>
          <a:off x="665018" y="1147156"/>
          <a:ext cx="307571" cy="307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6084917</xdr:colOff>
      <xdr:row>25</xdr:row>
      <xdr:rowOff>59066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EE38F07-4BF2-D83F-634C-24822CE22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018" y="1529542"/>
          <a:ext cx="7772400" cy="330934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pl/ProductDetail/Diodes-Incorporated/B340A-13-F?qs=aLaTXeBcTP9fj%2FYKVo6Q1A%3D%3D" TargetMode="External"/><Relationship Id="rId13" Type="http://schemas.openxmlformats.org/officeDocument/2006/relationships/hyperlink" Target="https://www.mouser.pl/ProductDetail/Susumu/RL1632R-R110-F?qs=tWzOfa%2FtRRwDOBij%2FFJT8g%3D%3D" TargetMode="External"/><Relationship Id="rId18" Type="http://schemas.openxmlformats.org/officeDocument/2006/relationships/hyperlink" Target="https://www.mouser.pl/ProductDetail/Vishay-Vitramon/VJ0603Y102KXBCW1BC?qs=o80U4RH5mTFKP2GWZao9Sg%3D%3D" TargetMode="External"/><Relationship Id="rId3" Type="http://schemas.openxmlformats.org/officeDocument/2006/relationships/hyperlink" Target="https://www.tme.eu/pl/details/mcp6001t-i_ot/wzmacniacze-operacyjne-smd/microchip-technology/" TargetMode="External"/><Relationship Id="rId21" Type="http://schemas.openxmlformats.org/officeDocument/2006/relationships/hyperlink" Target="https://www.tme.eu/pl/details/b2b-xh-a/zlacza-sygnalowe-raster-2-50mm/jst/b2b-xh-a-lf-sn/" TargetMode="External"/><Relationship Id="rId7" Type="http://schemas.openxmlformats.org/officeDocument/2006/relationships/hyperlink" Target="https://www.mouser.pl/ProductDetail/Laird-Technologies/MGAH0603220M-10?qs=By6Nw2ByBD1zgP2fZJk%252Bqw%3D%3D" TargetMode="External"/><Relationship Id="rId12" Type="http://schemas.openxmlformats.org/officeDocument/2006/relationships/hyperlink" Target="https://www.tme.eu/pl/details/smd0603-10k/rezystory-smd/royalohm/0603saj0103t5e/" TargetMode="External"/><Relationship Id="rId17" Type="http://schemas.openxmlformats.org/officeDocument/2006/relationships/hyperlink" Target="https://www.tme.eu/pl/details/vj0603y105kxacw1bc/kondensatory-mlcc-smd/vishay/" TargetMode="External"/><Relationship Id="rId25" Type="http://schemas.openxmlformats.org/officeDocument/2006/relationships/hyperlink" Target="https://www.mouser.pl/ProductDetail/Bel-Fuse/C1F-2.5?qs=Mr%252BgrRYddfrHutQcrDq%2Fcw%3D%3D" TargetMode="External"/><Relationship Id="rId2" Type="http://schemas.openxmlformats.org/officeDocument/2006/relationships/hyperlink" Target="https://www.mouser.pl/ProductDetail/Texas-Instruments/TPS922051D2DGNR?qs=3GbUB62Nf7cRDUq%252BgOXSvQ%3D%3D" TargetMode="External"/><Relationship Id="rId16" Type="http://schemas.openxmlformats.org/officeDocument/2006/relationships/hyperlink" Target="https://www.mouser.pl/ProductDetail/TAIYO-YUDEN/MCASG168SB7104KTNA1J?qs=tlsG%2FOw5FFjWcbkHvwFonQ%3D%3D" TargetMode="External"/><Relationship Id="rId20" Type="http://schemas.openxmlformats.org/officeDocument/2006/relationships/hyperlink" Target="https://www.tme.eu/pl/details/wr06x1000ftl/rezystory-smd/walsin/" TargetMode="External"/><Relationship Id="rId1" Type="http://schemas.openxmlformats.org/officeDocument/2006/relationships/hyperlink" Target="https://www.digikey.pl/pl/products/detail/texas-instruments/TPS922051D2DGNR/26700032" TargetMode="External"/><Relationship Id="rId6" Type="http://schemas.openxmlformats.org/officeDocument/2006/relationships/hyperlink" Target="https://www.mouser.pl/ProductDetail/STMicroelectronics/LD1117STR?qs=tZUCD5p2VWoh5188srwsAQ%3D%3D" TargetMode="External"/><Relationship Id="rId11" Type="http://schemas.openxmlformats.org/officeDocument/2006/relationships/hyperlink" Target="https://www.tme.eu/pl/details/t910w-20k/potencjometry-tht-wieloobrotowe-3-8-cala/sr-passives/" TargetMode="External"/><Relationship Id="rId24" Type="http://schemas.openxmlformats.org/officeDocument/2006/relationships/hyperlink" Target="https://www.tme.eu/pl/details/erbrg2r50v/bezpieczniki-smd-1206-szybkie/panasonic/" TargetMode="External"/><Relationship Id="rId5" Type="http://schemas.openxmlformats.org/officeDocument/2006/relationships/hyperlink" Target="https://www.tme.eu/pl/details/ld1117str/stabilizatory-napiecia-regulowane-ldo/stmicroelectronics/" TargetMode="External"/><Relationship Id="rId15" Type="http://schemas.openxmlformats.org/officeDocument/2006/relationships/hyperlink" Target="https://www.tme.eu/pl/details/cl32b226kajnnne/kondensatory-mlcc-smd/samsung/" TargetMode="External"/><Relationship Id="rId23" Type="http://schemas.openxmlformats.org/officeDocument/2006/relationships/hyperlink" Target="https://www.tme.eu/pl/details/b2b-ph-k-s/zlacza-sygnalowe-raster-2-00mm/jst/b2b-ph-k-s-lf-sn/" TargetMode="External"/><Relationship Id="rId10" Type="http://schemas.openxmlformats.org/officeDocument/2006/relationships/hyperlink" Target="https://www.tme.eu/pl/details/rc0603jr-07360r/rezystory-smd/yageo/rc0603jr-07360rl/" TargetMode="External"/><Relationship Id="rId19" Type="http://schemas.openxmlformats.org/officeDocument/2006/relationships/hyperlink" Target="https://www.tme.eu/pl/details/wr06x223jtl/rezystory-smd/walsin/wr06x223-jtl/" TargetMode="External"/><Relationship Id="rId4" Type="http://schemas.openxmlformats.org/officeDocument/2006/relationships/hyperlink" Target="https://www.mouser.pl/ProductDetail/Microchip-Technology/MCP6001T-E-OT?qs=npqfqDPP3%2FwkX3GgGH%252BE4A%3D%3D" TargetMode="External"/><Relationship Id="rId9" Type="http://schemas.openxmlformats.org/officeDocument/2006/relationships/hyperlink" Target="https://www.tme.eu/pl/details/b340a-13-f/diody-schottky-smd/diodes-incorporated/" TargetMode="External"/><Relationship Id="rId14" Type="http://schemas.openxmlformats.org/officeDocument/2006/relationships/hyperlink" Target="https://www.tme.eu/pl/details/sc1e476m6l005vr/kondensatory-elektrolityczne-smd/samwha/" TargetMode="External"/><Relationship Id="rId22" Type="http://schemas.openxmlformats.org/officeDocument/2006/relationships/hyperlink" Target="https://www.tme.eu/pl/details/b3b-xh-a/zlacza-sygnalowe-raster-2-50mm/jst/b3b-xh-a-lf-s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3686-4B1B-47EE-BF8D-2E96173711F6}">
  <dimension ref="B2:F32"/>
  <sheetViews>
    <sheetView topLeftCell="A6" zoomScale="85" zoomScaleNormal="85" workbookViewId="0">
      <selection activeCell="D16" sqref="D16"/>
    </sheetView>
  </sheetViews>
  <sheetFormatPr defaultRowHeight="18" x14ac:dyDescent="0.35"/>
  <cols>
    <col min="1" max="1" width="3.21875" style="1" customWidth="1"/>
    <col min="2" max="2" width="13.44140625" style="1" customWidth="1"/>
    <col min="3" max="3" width="14.21875" style="1" customWidth="1"/>
    <col min="4" max="4" width="5.109375" style="1" customWidth="1"/>
    <col min="5" max="5" width="28.5546875" style="1" customWidth="1"/>
    <col min="6" max="6" width="47" style="1" customWidth="1"/>
    <col min="7" max="8" width="8.88671875" style="1" customWidth="1"/>
    <col min="9" max="9" width="8.77734375" style="1" customWidth="1"/>
    <col min="10" max="10" width="8.88671875" style="1"/>
    <col min="11" max="12" width="8.88671875" style="1" customWidth="1"/>
    <col min="13" max="13" width="9" style="1" customWidth="1"/>
    <col min="14" max="16384" width="8.88671875" style="1"/>
  </cols>
  <sheetData>
    <row r="2" spans="2:6" x14ac:dyDescent="0.35">
      <c r="B2" s="5"/>
      <c r="C2" s="1" t="s">
        <v>29</v>
      </c>
    </row>
    <row r="4" spans="2:6" x14ac:dyDescent="0.35">
      <c r="B4" s="2" t="s">
        <v>0</v>
      </c>
      <c r="C4" s="2" t="s">
        <v>7</v>
      </c>
      <c r="D4" s="2" t="s">
        <v>16</v>
      </c>
      <c r="E4" s="2" t="s">
        <v>18</v>
      </c>
      <c r="F4" s="2" t="s">
        <v>8</v>
      </c>
    </row>
    <row r="5" spans="2:6" ht="20.399999999999999" x14ac:dyDescent="0.45">
      <c r="B5" s="3" t="s">
        <v>33</v>
      </c>
      <c r="C5" s="4">
        <v>400</v>
      </c>
      <c r="D5" s="3" t="s">
        <v>17</v>
      </c>
      <c r="E5" s="3"/>
      <c r="F5" s="3" t="s">
        <v>12</v>
      </c>
    </row>
    <row r="6" spans="2:6" ht="20.399999999999999" x14ac:dyDescent="0.45">
      <c r="B6" s="3" t="s">
        <v>34</v>
      </c>
      <c r="C6" s="5">
        <v>12</v>
      </c>
      <c r="D6" s="3" t="s">
        <v>9</v>
      </c>
      <c r="E6" s="3"/>
      <c r="F6" s="3" t="s">
        <v>32</v>
      </c>
    </row>
    <row r="7" spans="2:6" ht="20.399999999999999" x14ac:dyDescent="0.45">
      <c r="B7" s="3" t="s">
        <v>35</v>
      </c>
      <c r="C7" s="3">
        <v>4.5999999999999996</v>
      </c>
      <c r="D7" s="3" t="s">
        <v>9</v>
      </c>
      <c r="E7" s="3"/>
      <c r="F7" s="3" t="s">
        <v>11</v>
      </c>
    </row>
    <row r="8" spans="2:6" ht="20.399999999999999" x14ac:dyDescent="0.45">
      <c r="B8" s="3" t="s">
        <v>36</v>
      </c>
      <c r="C8" s="3">
        <v>1.8</v>
      </c>
      <c r="D8" s="3" t="s">
        <v>10</v>
      </c>
      <c r="E8" s="3"/>
      <c r="F8" s="3" t="s">
        <v>13</v>
      </c>
    </row>
    <row r="9" spans="2:6" ht="21" customHeight="1" x14ac:dyDescent="0.45">
      <c r="B9" s="3" t="s">
        <v>62</v>
      </c>
      <c r="C9" s="3">
        <v>0.4</v>
      </c>
      <c r="D9" s="3" t="s">
        <v>20</v>
      </c>
      <c r="E9" s="3"/>
      <c r="F9" s="3" t="s">
        <v>63</v>
      </c>
    </row>
    <row r="10" spans="2:6" ht="20.399999999999999" x14ac:dyDescent="0.45">
      <c r="B10" s="3" t="s">
        <v>37</v>
      </c>
      <c r="C10" s="3">
        <v>0.2</v>
      </c>
      <c r="D10" s="3" t="s">
        <v>9</v>
      </c>
      <c r="E10" s="3"/>
      <c r="F10" s="3" t="s">
        <v>15</v>
      </c>
    </row>
    <row r="11" spans="2:6" ht="20.399999999999999" x14ac:dyDescent="0.45">
      <c r="B11" s="3" t="s">
        <v>64</v>
      </c>
      <c r="C11" s="3">
        <v>0.02</v>
      </c>
      <c r="D11" s="3" t="s">
        <v>10</v>
      </c>
      <c r="E11" s="3"/>
      <c r="F11" s="3" t="s">
        <v>14</v>
      </c>
    </row>
    <row r="12" spans="2:6" ht="20.399999999999999" x14ac:dyDescent="0.45">
      <c r="B12" s="3" t="s">
        <v>39</v>
      </c>
      <c r="C12" s="5">
        <v>0.2</v>
      </c>
      <c r="D12" s="3"/>
      <c r="E12" s="3"/>
      <c r="F12" s="3" t="s">
        <v>103</v>
      </c>
    </row>
    <row r="13" spans="2:6" ht="20.399999999999999" x14ac:dyDescent="0.45">
      <c r="B13" s="3" t="s">
        <v>86</v>
      </c>
      <c r="C13" s="3">
        <v>2.2000000000000002</v>
      </c>
      <c r="D13" s="3" t="s">
        <v>9</v>
      </c>
      <c r="E13" s="3"/>
      <c r="F13" s="3" t="s">
        <v>88</v>
      </c>
    </row>
    <row r="14" spans="2:6" ht="20.399999999999999" x14ac:dyDescent="0.45">
      <c r="B14" s="3" t="s">
        <v>87</v>
      </c>
      <c r="C14" s="3">
        <v>5</v>
      </c>
      <c r="D14" s="3" t="s">
        <v>9</v>
      </c>
      <c r="E14" s="3"/>
      <c r="F14" s="3" t="s">
        <v>100</v>
      </c>
    </row>
    <row r="15" spans="2:6" ht="20.399999999999999" x14ac:dyDescent="0.45">
      <c r="B15" s="2" t="s">
        <v>80</v>
      </c>
      <c r="C15" s="3">
        <v>1</v>
      </c>
      <c r="D15" s="6" t="s">
        <v>38</v>
      </c>
      <c r="E15" s="6" t="s">
        <v>19</v>
      </c>
      <c r="F15" s="3" t="s">
        <v>25</v>
      </c>
    </row>
    <row r="16" spans="2:6" ht="20.399999999999999" x14ac:dyDescent="0.45">
      <c r="B16" s="2" t="s">
        <v>81</v>
      </c>
      <c r="C16" s="5">
        <v>100</v>
      </c>
      <c r="D16" s="6" t="s">
        <v>20</v>
      </c>
      <c r="E16" s="3"/>
      <c r="F16" s="3" t="s">
        <v>23</v>
      </c>
    </row>
    <row r="17" spans="2:6" ht="20.399999999999999" x14ac:dyDescent="0.45">
      <c r="B17" s="2" t="s">
        <v>82</v>
      </c>
      <c r="C17" s="5">
        <v>1</v>
      </c>
      <c r="D17" s="3" t="s">
        <v>21</v>
      </c>
      <c r="E17" s="3" t="s">
        <v>22</v>
      </c>
      <c r="F17" s="3" t="s">
        <v>24</v>
      </c>
    </row>
    <row r="18" spans="2:6" ht="20.399999999999999" x14ac:dyDescent="0.45">
      <c r="B18" s="2" t="s">
        <v>83</v>
      </c>
      <c r="C18" s="5">
        <v>100</v>
      </c>
      <c r="D18" s="3" t="s">
        <v>20</v>
      </c>
      <c r="E18" s="3"/>
      <c r="F18" s="3" t="s">
        <v>26</v>
      </c>
    </row>
    <row r="19" spans="2:6" ht="20.399999999999999" x14ac:dyDescent="0.45">
      <c r="B19" s="2" t="s">
        <v>84</v>
      </c>
      <c r="C19" s="5">
        <v>1</v>
      </c>
      <c r="D19" s="3" t="s">
        <v>21</v>
      </c>
      <c r="E19" s="3" t="s">
        <v>28</v>
      </c>
      <c r="F19" s="3" t="s">
        <v>27</v>
      </c>
    </row>
    <row r="20" spans="2:6" ht="20.399999999999999" x14ac:dyDescent="0.45">
      <c r="B20" s="2" t="s">
        <v>85</v>
      </c>
      <c r="C20" s="5">
        <v>22</v>
      </c>
      <c r="D20" s="3" t="s">
        <v>30</v>
      </c>
      <c r="E20" s="3"/>
      <c r="F20" s="3" t="s">
        <v>31</v>
      </c>
    </row>
    <row r="21" spans="2:6" ht="20.399999999999999" x14ac:dyDescent="0.45">
      <c r="B21" s="2" t="s">
        <v>77</v>
      </c>
      <c r="C21" s="5">
        <v>47</v>
      </c>
      <c r="D21" s="6" t="s">
        <v>38</v>
      </c>
      <c r="E21" s="3" t="s">
        <v>57</v>
      </c>
      <c r="F21" s="3" t="s">
        <v>59</v>
      </c>
    </row>
    <row r="22" spans="2:6" ht="20.399999999999999" x14ac:dyDescent="0.45">
      <c r="B22" s="2" t="s">
        <v>78</v>
      </c>
      <c r="C22" s="5">
        <v>22</v>
      </c>
      <c r="D22" s="6" t="s">
        <v>38</v>
      </c>
      <c r="E22" s="3" t="s">
        <v>58</v>
      </c>
      <c r="F22" s="3" t="s">
        <v>60</v>
      </c>
    </row>
    <row r="23" spans="2:6" ht="20.399999999999999" x14ac:dyDescent="0.45">
      <c r="B23" s="2" t="s">
        <v>79</v>
      </c>
      <c r="C23" s="5">
        <v>0.1</v>
      </c>
      <c r="D23" s="6" t="s">
        <v>38</v>
      </c>
      <c r="E23" s="3" t="s">
        <v>58</v>
      </c>
      <c r="F23" s="3" t="s">
        <v>61</v>
      </c>
    </row>
    <row r="24" spans="2:6" ht="20.399999999999999" x14ac:dyDescent="0.45">
      <c r="B24" s="2" t="s">
        <v>76</v>
      </c>
      <c r="C24" s="3">
        <v>0.1</v>
      </c>
      <c r="D24" s="10" t="s">
        <v>38</v>
      </c>
      <c r="E24" s="3" t="s">
        <v>58</v>
      </c>
      <c r="F24" s="3" t="s">
        <v>73</v>
      </c>
    </row>
    <row r="25" spans="2:6" ht="20.399999999999999" x14ac:dyDescent="0.45">
      <c r="B25" s="2" t="s">
        <v>98</v>
      </c>
      <c r="C25" s="3">
        <v>10</v>
      </c>
      <c r="D25" s="7" t="s">
        <v>30</v>
      </c>
      <c r="E25" s="3"/>
      <c r="F25" s="3" t="s">
        <v>99</v>
      </c>
    </row>
    <row r="26" spans="2:6" x14ac:dyDescent="0.35">
      <c r="B26" s="22" t="s">
        <v>101</v>
      </c>
      <c r="C26" s="22"/>
      <c r="D26" s="22"/>
      <c r="E26" s="22"/>
      <c r="F26" s="22"/>
    </row>
    <row r="27" spans="2:6" x14ac:dyDescent="0.35">
      <c r="B27" s="22"/>
      <c r="C27" s="22"/>
      <c r="D27" s="22"/>
      <c r="E27" s="22"/>
      <c r="F27" s="22"/>
    </row>
    <row r="28" spans="2:6" ht="20.399999999999999" x14ac:dyDescent="0.45">
      <c r="B28" s="2" t="s">
        <v>74</v>
      </c>
      <c r="C28" s="3">
        <f>Obliczenia!E3</f>
        <v>0.11</v>
      </c>
      <c r="D28" s="3" t="s">
        <v>20</v>
      </c>
      <c r="E28" s="3" t="s">
        <v>47</v>
      </c>
      <c r="F28" s="7" t="s">
        <v>44</v>
      </c>
    </row>
    <row r="29" spans="2:6" x14ac:dyDescent="0.35">
      <c r="B29" s="2" t="s">
        <v>48</v>
      </c>
      <c r="C29" s="7">
        <f>Obliczenia!E5</f>
        <v>22</v>
      </c>
      <c r="D29" s="10" t="s">
        <v>102</v>
      </c>
      <c r="E29" s="3"/>
      <c r="F29" s="3" t="s">
        <v>50</v>
      </c>
    </row>
    <row r="30" spans="2:6" ht="20.399999999999999" x14ac:dyDescent="0.45">
      <c r="B30" s="2" t="s">
        <v>75</v>
      </c>
      <c r="C30" s="3">
        <f>Obliczenia!E10</f>
        <v>44</v>
      </c>
      <c r="D30" s="10" t="s">
        <v>38</v>
      </c>
      <c r="E30" s="3" t="s">
        <v>58</v>
      </c>
      <c r="F30" s="3" t="s">
        <v>72</v>
      </c>
    </row>
    <row r="31" spans="2:6" ht="20.399999999999999" x14ac:dyDescent="0.45">
      <c r="B31" s="2" t="s">
        <v>95</v>
      </c>
      <c r="C31" s="3">
        <f>Obliczenia!E14</f>
        <v>22</v>
      </c>
      <c r="D31" s="7" t="s">
        <v>30</v>
      </c>
      <c r="E31" s="3"/>
      <c r="F31" s="23" t="s">
        <v>97</v>
      </c>
    </row>
    <row r="32" spans="2:6" ht="20.399999999999999" x14ac:dyDescent="0.45">
      <c r="B32" s="2" t="s">
        <v>96</v>
      </c>
      <c r="C32" s="3">
        <f>Obliczenia!E15</f>
        <v>15</v>
      </c>
      <c r="D32" s="7" t="s">
        <v>30</v>
      </c>
      <c r="E32" s="3"/>
      <c r="F32" s="24"/>
    </row>
  </sheetData>
  <mergeCells count="2">
    <mergeCell ref="B26:F27"/>
    <mergeCell ref="F31:F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22F7-F2B0-4B49-9EE8-34CDB52550BF}">
  <dimension ref="A1:G21"/>
  <sheetViews>
    <sheetView topLeftCell="A3" workbookViewId="0">
      <selection activeCell="G14" sqref="G14:G15"/>
    </sheetView>
  </sheetViews>
  <sheetFormatPr defaultRowHeight="14.4" x14ac:dyDescent="0.3"/>
  <cols>
    <col min="1" max="1" width="3.109375" customWidth="1"/>
    <col min="2" max="2" width="13.88671875" customWidth="1"/>
    <col min="3" max="3" width="36.44140625" customWidth="1"/>
    <col min="4" max="4" width="14.6640625" customWidth="1"/>
    <col min="5" max="5" width="17.77734375" bestFit="1" customWidth="1"/>
    <col min="6" max="6" width="3.6640625" customWidth="1"/>
    <col min="7" max="7" width="49.44140625" customWidth="1"/>
  </cols>
  <sheetData>
    <row r="1" spans="1:7" ht="18" x14ac:dyDescent="0.35">
      <c r="A1" s="1"/>
      <c r="B1" s="1"/>
      <c r="C1" s="1"/>
      <c r="D1" s="1"/>
      <c r="E1" s="1"/>
      <c r="F1" s="1"/>
      <c r="G1" s="1"/>
    </row>
    <row r="2" spans="1:7" ht="18" x14ac:dyDescent="0.35">
      <c r="A2" s="1"/>
      <c r="B2" s="2" t="s">
        <v>0</v>
      </c>
      <c r="C2" s="2" t="s">
        <v>40</v>
      </c>
      <c r="D2" s="2" t="s">
        <v>41</v>
      </c>
      <c r="E2" s="2" t="s">
        <v>42</v>
      </c>
      <c r="F2" s="2" t="s">
        <v>16</v>
      </c>
      <c r="G2" s="2" t="s">
        <v>8</v>
      </c>
    </row>
    <row r="3" spans="1:7" ht="42.6" customHeight="1" x14ac:dyDescent="0.35">
      <c r="A3" s="1"/>
      <c r="B3" s="23" t="s">
        <v>43</v>
      </c>
      <c r="C3" s="7" t="e" vm="1">
        <v>#VALUE!</v>
      </c>
      <c r="D3" s="7">
        <f>Wartości!C10/Wartości!C8</f>
        <v>0.11111111111111112</v>
      </c>
      <c r="E3" s="15">
        <v>0.11</v>
      </c>
      <c r="F3" s="7" t="s">
        <v>20</v>
      </c>
      <c r="G3" s="7" t="s">
        <v>44</v>
      </c>
    </row>
    <row r="4" spans="1:7" ht="41.85" customHeight="1" x14ac:dyDescent="0.35">
      <c r="A4" s="1"/>
      <c r="B4" s="24"/>
      <c r="C4" s="7"/>
      <c r="D4" s="7">
        <f>Wartości!C8^2*Obliczenia!E3</f>
        <v>0.35640000000000005</v>
      </c>
      <c r="E4" s="15">
        <v>0.5</v>
      </c>
      <c r="F4" s="7" t="s">
        <v>45</v>
      </c>
      <c r="G4" s="7" t="s">
        <v>46</v>
      </c>
    </row>
    <row r="5" spans="1:7" ht="42.6" customHeight="1" x14ac:dyDescent="0.35">
      <c r="A5" s="1"/>
      <c r="B5" s="7" t="s">
        <v>48</v>
      </c>
      <c r="C5" s="7" t="e" vm="2">
        <v>#VALUE!</v>
      </c>
      <c r="D5" s="9">
        <f>(Wartości!C7*(Wartości!C6-Wartości!C7))/(Wartości!C6*Wartości!C12*Wartości!C8*Wartości!C5*1000)</f>
        <v>1.9699074074074069E-5</v>
      </c>
      <c r="E5" s="15">
        <v>22</v>
      </c>
      <c r="F5" s="10" t="s">
        <v>102</v>
      </c>
      <c r="G5" s="7" t="s">
        <v>49</v>
      </c>
    </row>
    <row r="6" spans="1:7" ht="42.6" customHeight="1" x14ac:dyDescent="0.35">
      <c r="A6" s="1"/>
      <c r="B6" s="7" t="s">
        <v>51</v>
      </c>
      <c r="C6" s="7" t="e" vm="3">
        <v>#VALUE!</v>
      </c>
      <c r="D6" s="13">
        <f>(Wartości!C7*(Wartości!C6-Wartości!C7))/(Wartości!C6*Wartości!C5*1000*Obliczenia!E5/1000000)</f>
        <v>0.32234848484848488</v>
      </c>
      <c r="E6" s="7"/>
      <c r="F6" s="7" t="s">
        <v>10</v>
      </c>
      <c r="G6" s="14" t="s">
        <v>52</v>
      </c>
    </row>
    <row r="7" spans="1:7" ht="42.6" customHeight="1" x14ac:dyDescent="0.35">
      <c r="A7" s="1"/>
      <c r="B7" s="7" t="s">
        <v>54</v>
      </c>
      <c r="C7" s="7" t="e" vm="4">
        <v>#VALUE!</v>
      </c>
      <c r="D7" s="13">
        <f>Wartości!C8+(Obliczenia!D6/2)</f>
        <v>1.9611742424242424</v>
      </c>
      <c r="E7" s="7"/>
      <c r="F7" s="7" t="s">
        <v>10</v>
      </c>
      <c r="G7" s="14" t="s">
        <v>55</v>
      </c>
    </row>
    <row r="8" spans="1:7" ht="41.85" customHeight="1" x14ac:dyDescent="0.35">
      <c r="A8" s="1"/>
      <c r="B8" s="7" t="s">
        <v>53</v>
      </c>
      <c r="C8" s="7" t="e" vm="5">
        <v>#VALUE!</v>
      </c>
      <c r="D8" s="13">
        <f>SQRT(Wartości!C8^2+(Obliczenia!D6^2/12))</f>
        <v>1.8024036854915928</v>
      </c>
      <c r="E8" s="7"/>
      <c r="F8" s="7" t="s">
        <v>10</v>
      </c>
      <c r="G8" s="14" t="s">
        <v>56</v>
      </c>
    </row>
    <row r="9" spans="1:7" ht="42.6" customHeight="1" x14ac:dyDescent="0.35">
      <c r="A9" s="1"/>
      <c r="B9" s="7" t="s">
        <v>66</v>
      </c>
      <c r="C9" s="7" t="e" vm="6">
        <v>#VALUE!</v>
      </c>
      <c r="D9" s="11">
        <f>(Wartości!C9*Wartości!C11)/(Obliczenia!D6-Wartości!C11)</f>
        <v>2.6459533951390626E-2</v>
      </c>
      <c r="E9" s="7"/>
      <c r="F9" s="7" t="s">
        <v>20</v>
      </c>
      <c r="G9" s="14" t="s">
        <v>65</v>
      </c>
    </row>
    <row r="10" spans="1:7" ht="42.6" customHeight="1" x14ac:dyDescent="0.35">
      <c r="A10" s="1"/>
      <c r="B10" s="7" t="s">
        <v>71</v>
      </c>
      <c r="C10" s="7" t="e" vm="7">
        <v>#VALUE!</v>
      </c>
      <c r="D10" s="7">
        <f>1/(2*3.1415*Wartości!C5*1000*Obliczenia!D9)</f>
        <v>1.5038023478457984E-5</v>
      </c>
      <c r="E10" s="15">
        <v>44</v>
      </c>
      <c r="F10" s="10" t="s">
        <v>38</v>
      </c>
      <c r="G10" s="14" t="s">
        <v>104</v>
      </c>
    </row>
    <row r="11" spans="1:7" ht="42.6" customHeight="1" x14ac:dyDescent="0.35">
      <c r="A11" s="1"/>
      <c r="B11" s="7" t="s">
        <v>67</v>
      </c>
      <c r="C11" s="7" t="e" vm="8">
        <v>#VALUE!</v>
      </c>
      <c r="D11" s="12">
        <f>1/(2*3.1415*Wartości!C5*1000*Obliczenia!E10/1000000)</f>
        <v>9.0431611997742814E-3</v>
      </c>
      <c r="E11" s="7"/>
      <c r="F11" s="7" t="s">
        <v>20</v>
      </c>
      <c r="G11" s="7" t="s">
        <v>68</v>
      </c>
    </row>
    <row r="12" spans="1:7" ht="42.6" customHeight="1" x14ac:dyDescent="0.35">
      <c r="A12" s="1"/>
      <c r="B12" s="7" t="s">
        <v>69</v>
      </c>
      <c r="C12" s="7" t="e" vm="9">
        <v>#VALUE!</v>
      </c>
      <c r="D12" s="12">
        <f>(D11*D6)/(D11+Wartości!C9)</f>
        <v>7.1265078786249486E-3</v>
      </c>
      <c r="E12" s="7"/>
      <c r="F12" s="7" t="s">
        <v>10</v>
      </c>
      <c r="G12" s="14" t="s">
        <v>70</v>
      </c>
    </row>
    <row r="13" spans="1:7" ht="42.6" customHeight="1" x14ac:dyDescent="0.35">
      <c r="A13" s="1"/>
      <c r="B13" s="7" t="s">
        <v>89</v>
      </c>
      <c r="C13" s="7" t="e" vm="10">
        <v>#VALUE!</v>
      </c>
      <c r="D13" s="7">
        <f>Wartości!C13/Wartości!C14</f>
        <v>0.44000000000000006</v>
      </c>
      <c r="E13" s="7"/>
      <c r="F13" s="7"/>
      <c r="G13" s="14" t="s">
        <v>90</v>
      </c>
    </row>
    <row r="14" spans="1:7" ht="42.6" customHeight="1" x14ac:dyDescent="0.35">
      <c r="A14" s="1"/>
      <c r="B14" s="7" t="s">
        <v>91</v>
      </c>
      <c r="C14" s="7" t="s">
        <v>93</v>
      </c>
      <c r="D14" s="7">
        <v>56</v>
      </c>
      <c r="E14" s="15">
        <v>22</v>
      </c>
      <c r="F14" s="7" t="s">
        <v>30</v>
      </c>
      <c r="G14" s="23" t="s">
        <v>94</v>
      </c>
    </row>
    <row r="15" spans="1:7" ht="42.6" customHeight="1" x14ac:dyDescent="0.35">
      <c r="A15" s="1"/>
      <c r="B15" s="7" t="s">
        <v>92</v>
      </c>
      <c r="C15" s="7" t="s">
        <v>93</v>
      </c>
      <c r="D15" s="7">
        <v>44</v>
      </c>
      <c r="E15" s="15">
        <v>15</v>
      </c>
      <c r="F15" s="7" t="s">
        <v>30</v>
      </c>
      <c r="G15" s="24"/>
    </row>
    <row r="16" spans="1:7" x14ac:dyDescent="0.3">
      <c r="B16" s="8"/>
      <c r="C16" s="8"/>
      <c r="D16" s="8"/>
      <c r="E16" s="8"/>
      <c r="F16" s="8"/>
      <c r="G16" s="8"/>
    </row>
    <row r="17" spans="2:7" x14ac:dyDescent="0.3">
      <c r="B17" s="8"/>
      <c r="C17" s="8"/>
      <c r="D17" s="8"/>
      <c r="E17" s="8"/>
      <c r="F17" s="8"/>
      <c r="G17" s="8"/>
    </row>
    <row r="18" spans="2:7" x14ac:dyDescent="0.3">
      <c r="B18" s="8"/>
      <c r="C18" s="8"/>
      <c r="D18" s="8"/>
      <c r="E18" s="8"/>
      <c r="F18" s="8"/>
      <c r="G18" s="8"/>
    </row>
    <row r="19" spans="2:7" x14ac:dyDescent="0.3">
      <c r="B19" s="8"/>
      <c r="C19" s="8"/>
      <c r="D19" s="8"/>
      <c r="E19" s="8"/>
      <c r="F19" s="8"/>
      <c r="G19" s="8"/>
    </row>
    <row r="20" spans="2:7" x14ac:dyDescent="0.3">
      <c r="B20" s="8"/>
      <c r="C20" s="8"/>
      <c r="D20" s="8"/>
      <c r="E20" s="8"/>
      <c r="F20" s="8"/>
      <c r="G20" s="8"/>
    </row>
    <row r="21" spans="2:7" x14ac:dyDescent="0.3">
      <c r="B21" s="8"/>
      <c r="C21" s="8"/>
      <c r="D21" s="8"/>
      <c r="E21" s="8"/>
      <c r="F21" s="8"/>
      <c r="G21" s="8"/>
    </row>
  </sheetData>
  <mergeCells count="2">
    <mergeCell ref="B3:B4"/>
    <mergeCell ref="G14:G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6C43-93CD-468D-AA47-1FA337D54487}">
  <dimension ref="B2:C5"/>
  <sheetViews>
    <sheetView workbookViewId="0">
      <selection activeCell="B3" sqref="B3"/>
    </sheetView>
  </sheetViews>
  <sheetFormatPr defaultRowHeight="14.4" x14ac:dyDescent="0.3"/>
  <cols>
    <col min="1" max="1" width="2.5546875" customWidth="1"/>
    <col min="2" max="2" width="22.5546875" customWidth="1"/>
    <col min="3" max="3" width="146.5546875" customWidth="1"/>
  </cols>
  <sheetData>
    <row r="2" spans="2:3" ht="18.600000000000001" thickBot="1" x14ac:dyDescent="0.4">
      <c r="B2" s="16" t="s">
        <v>0</v>
      </c>
      <c r="C2" s="16" t="s">
        <v>1</v>
      </c>
    </row>
    <row r="3" spans="2:3" ht="18" x14ac:dyDescent="0.35">
      <c r="B3" s="17" t="s">
        <v>3</v>
      </c>
      <c r="C3" s="17" t="s">
        <v>2</v>
      </c>
    </row>
    <row r="4" spans="2:3" ht="18" x14ac:dyDescent="0.35">
      <c r="B4" s="25" t="s">
        <v>4</v>
      </c>
      <c r="C4" s="3" t="s">
        <v>5</v>
      </c>
    </row>
    <row r="5" spans="2:3" ht="18" x14ac:dyDescent="0.35">
      <c r="B5" s="25"/>
      <c r="C5" s="3" t="s">
        <v>6</v>
      </c>
    </row>
  </sheetData>
  <mergeCells count="1">
    <mergeCell ref="B4:B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168F-8193-48C2-A836-A970089A9B71}">
  <dimension ref="B3:K24"/>
  <sheetViews>
    <sheetView tabSelected="1" topLeftCell="B1" workbookViewId="0">
      <selection activeCell="L13" sqref="L13"/>
    </sheetView>
  </sheetViews>
  <sheetFormatPr defaultRowHeight="14.4" x14ac:dyDescent="0.3"/>
  <cols>
    <col min="2" max="2" width="27.88671875" bestFit="1" customWidth="1"/>
    <col min="5" max="5" width="14.21875" customWidth="1"/>
    <col min="6" max="6" width="12.5546875" bestFit="1" customWidth="1"/>
    <col min="7" max="7" width="11.109375" customWidth="1"/>
  </cols>
  <sheetData>
    <row r="3" spans="2:11" x14ac:dyDescent="0.3">
      <c r="B3" t="s">
        <v>110</v>
      </c>
      <c r="C3" t="s">
        <v>105</v>
      </c>
      <c r="D3" t="s">
        <v>107</v>
      </c>
      <c r="E3" t="s">
        <v>106</v>
      </c>
      <c r="F3" t="s">
        <v>129</v>
      </c>
      <c r="G3" t="s">
        <v>108</v>
      </c>
      <c r="H3" t="s">
        <v>122</v>
      </c>
      <c r="I3" t="s">
        <v>123</v>
      </c>
      <c r="K3" t="s">
        <v>124</v>
      </c>
    </row>
    <row r="4" spans="2:11" x14ac:dyDescent="0.3">
      <c r="B4" t="s">
        <v>131</v>
      </c>
      <c r="C4">
        <v>47</v>
      </c>
      <c r="D4" t="s">
        <v>109</v>
      </c>
      <c r="E4">
        <v>1</v>
      </c>
      <c r="F4">
        <v>10</v>
      </c>
      <c r="G4">
        <v>0.621</v>
      </c>
      <c r="H4">
        <f t="shared" ref="H4:H14" si="0">F4*G4</f>
        <v>6.21</v>
      </c>
      <c r="I4" s="19" t="s">
        <v>127</v>
      </c>
    </row>
    <row r="5" spans="2:11" x14ac:dyDescent="0.3">
      <c r="B5" s="21" t="s">
        <v>132</v>
      </c>
      <c r="C5">
        <v>22</v>
      </c>
      <c r="D5" t="s">
        <v>109</v>
      </c>
      <c r="E5">
        <v>5</v>
      </c>
      <c r="F5">
        <v>10</v>
      </c>
      <c r="G5">
        <v>0.91800000000000004</v>
      </c>
      <c r="H5">
        <f t="shared" si="0"/>
        <v>9.18</v>
      </c>
      <c r="I5" s="19" t="s">
        <v>127</v>
      </c>
    </row>
    <row r="6" spans="2:11" x14ac:dyDescent="0.3">
      <c r="B6" t="s">
        <v>130</v>
      </c>
      <c r="C6">
        <v>100</v>
      </c>
      <c r="D6" t="s">
        <v>21</v>
      </c>
      <c r="E6">
        <v>5</v>
      </c>
      <c r="F6">
        <v>100</v>
      </c>
      <c r="G6">
        <v>0.14599999999999999</v>
      </c>
      <c r="H6">
        <f t="shared" si="0"/>
        <v>14.6</v>
      </c>
      <c r="I6" s="19" t="s">
        <v>126</v>
      </c>
    </row>
    <row r="7" spans="2:11" x14ac:dyDescent="0.3">
      <c r="B7" t="s">
        <v>130</v>
      </c>
      <c r="C7">
        <v>1</v>
      </c>
      <c r="D7" t="s">
        <v>109</v>
      </c>
      <c r="E7">
        <v>1</v>
      </c>
      <c r="F7">
        <v>10</v>
      </c>
      <c r="G7">
        <v>0.28799999999999998</v>
      </c>
      <c r="H7">
        <f t="shared" si="0"/>
        <v>2.88</v>
      </c>
      <c r="I7" s="19" t="s">
        <v>127</v>
      </c>
    </row>
    <row r="8" spans="2:11" x14ac:dyDescent="0.3">
      <c r="B8" t="s">
        <v>130</v>
      </c>
      <c r="C8">
        <v>1</v>
      </c>
      <c r="D8" t="s">
        <v>21</v>
      </c>
      <c r="E8">
        <v>2</v>
      </c>
      <c r="F8">
        <v>10</v>
      </c>
      <c r="G8">
        <v>0.14199999999999999</v>
      </c>
      <c r="H8">
        <f t="shared" si="0"/>
        <v>1.42</v>
      </c>
      <c r="I8" s="19" t="s">
        <v>126</v>
      </c>
    </row>
    <row r="9" spans="2:11" x14ac:dyDescent="0.3">
      <c r="B9" t="s">
        <v>111</v>
      </c>
      <c r="C9">
        <v>22</v>
      </c>
      <c r="D9" t="s">
        <v>30</v>
      </c>
      <c r="E9">
        <v>2</v>
      </c>
      <c r="F9">
        <v>50</v>
      </c>
      <c r="G9">
        <v>1.78E-2</v>
      </c>
      <c r="H9">
        <f t="shared" si="0"/>
        <v>0.89</v>
      </c>
      <c r="I9" s="19" t="s">
        <v>127</v>
      </c>
    </row>
    <row r="10" spans="2:11" x14ac:dyDescent="0.3">
      <c r="B10" t="s">
        <v>111</v>
      </c>
      <c r="C10">
        <v>100</v>
      </c>
      <c r="D10" t="s">
        <v>20</v>
      </c>
      <c r="E10">
        <v>3</v>
      </c>
      <c r="F10">
        <v>50</v>
      </c>
      <c r="G10">
        <v>2.29E-2</v>
      </c>
      <c r="H10">
        <f t="shared" si="0"/>
        <v>1.145</v>
      </c>
      <c r="I10" s="19" t="s">
        <v>127</v>
      </c>
    </row>
    <row r="11" spans="2:11" x14ac:dyDescent="0.3">
      <c r="B11" t="s">
        <v>112</v>
      </c>
      <c r="C11">
        <v>0.11</v>
      </c>
      <c r="D11" t="s">
        <v>20</v>
      </c>
      <c r="E11">
        <v>1</v>
      </c>
      <c r="F11">
        <v>5</v>
      </c>
      <c r="G11">
        <v>1.18</v>
      </c>
      <c r="H11">
        <f t="shared" si="0"/>
        <v>5.8999999999999995</v>
      </c>
      <c r="I11" s="19" t="s">
        <v>126</v>
      </c>
    </row>
    <row r="12" spans="2:11" x14ac:dyDescent="0.3">
      <c r="B12" t="s">
        <v>111</v>
      </c>
      <c r="C12">
        <v>10</v>
      </c>
      <c r="D12" t="s">
        <v>30</v>
      </c>
      <c r="E12">
        <v>4</v>
      </c>
      <c r="F12">
        <v>100</v>
      </c>
      <c r="G12">
        <v>2.7099999999999999E-2</v>
      </c>
      <c r="H12">
        <f t="shared" si="0"/>
        <v>2.71</v>
      </c>
      <c r="I12" s="19" t="s">
        <v>127</v>
      </c>
    </row>
    <row r="13" spans="2:11" x14ac:dyDescent="0.3">
      <c r="B13" t="s">
        <v>121</v>
      </c>
      <c r="C13">
        <v>20</v>
      </c>
      <c r="D13" t="s">
        <v>30</v>
      </c>
      <c r="E13">
        <v>1</v>
      </c>
      <c r="F13">
        <v>5</v>
      </c>
      <c r="G13">
        <v>1.369</v>
      </c>
      <c r="H13">
        <f t="shared" si="0"/>
        <v>6.8449999999999998</v>
      </c>
      <c r="I13" s="19" t="s">
        <v>127</v>
      </c>
    </row>
    <row r="14" spans="2:11" x14ac:dyDescent="0.3">
      <c r="B14" t="s">
        <v>111</v>
      </c>
      <c r="C14">
        <v>360</v>
      </c>
      <c r="D14" t="s">
        <v>20</v>
      </c>
      <c r="E14">
        <v>1</v>
      </c>
      <c r="F14">
        <v>100</v>
      </c>
      <c r="G14">
        <v>1.2500000000000001E-2</v>
      </c>
      <c r="H14">
        <f t="shared" si="0"/>
        <v>1.25</v>
      </c>
      <c r="I14" s="19" t="s">
        <v>127</v>
      </c>
    </row>
    <row r="15" spans="2:11" x14ac:dyDescent="0.3">
      <c r="B15" t="s">
        <v>113</v>
      </c>
      <c r="C15" s="26" t="s">
        <v>138</v>
      </c>
      <c r="D15" s="26"/>
      <c r="E15">
        <v>1</v>
      </c>
      <c r="F15">
        <v>10</v>
      </c>
      <c r="G15">
        <v>0.98499999999999999</v>
      </c>
      <c r="H15">
        <f>F15*G15</f>
        <v>9.85</v>
      </c>
      <c r="I15" s="20" t="s">
        <v>126</v>
      </c>
      <c r="J15" s="19" t="s">
        <v>127</v>
      </c>
    </row>
    <row r="16" spans="2:11" x14ac:dyDescent="0.3">
      <c r="B16" t="s">
        <v>114</v>
      </c>
      <c r="C16">
        <v>22</v>
      </c>
      <c r="D16" t="s">
        <v>115</v>
      </c>
      <c r="E16">
        <v>1</v>
      </c>
      <c r="F16">
        <v>3</v>
      </c>
      <c r="G16">
        <v>2.11</v>
      </c>
      <c r="H16">
        <f t="shared" ref="H16:H23" si="1">F16*G16</f>
        <v>6.33</v>
      </c>
      <c r="I16" s="19" t="s">
        <v>126</v>
      </c>
    </row>
    <row r="17" spans="2:11" x14ac:dyDescent="0.3">
      <c r="B17" t="s">
        <v>116</v>
      </c>
      <c r="C17" s="26" t="s">
        <v>117</v>
      </c>
      <c r="D17" s="26"/>
      <c r="E17">
        <v>1</v>
      </c>
      <c r="F17">
        <v>3</v>
      </c>
      <c r="G17">
        <v>1.1100000000000001</v>
      </c>
      <c r="H17">
        <f t="shared" si="1"/>
        <v>3.33</v>
      </c>
      <c r="I17" s="19" t="s">
        <v>127</v>
      </c>
      <c r="J17" s="18" t="s">
        <v>126</v>
      </c>
    </row>
    <row r="18" spans="2:11" x14ac:dyDescent="0.3">
      <c r="B18" t="s">
        <v>118</v>
      </c>
      <c r="C18" s="26" t="s">
        <v>119</v>
      </c>
      <c r="D18" s="26"/>
      <c r="E18">
        <v>1</v>
      </c>
      <c r="F18">
        <v>5</v>
      </c>
      <c r="G18">
        <v>1.1499999999999999</v>
      </c>
      <c r="H18">
        <f t="shared" si="1"/>
        <v>5.75</v>
      </c>
      <c r="I18" s="19" t="s">
        <v>127</v>
      </c>
      <c r="J18" s="18" t="s">
        <v>126</v>
      </c>
    </row>
    <row r="19" spans="2:11" x14ac:dyDescent="0.3">
      <c r="B19" t="s">
        <v>120</v>
      </c>
      <c r="C19" s="26" t="s">
        <v>3</v>
      </c>
      <c r="D19" s="26"/>
      <c r="E19">
        <v>1</v>
      </c>
      <c r="F19">
        <v>3</v>
      </c>
      <c r="G19">
        <v>2.66</v>
      </c>
      <c r="H19">
        <f t="shared" si="1"/>
        <v>7.98</v>
      </c>
      <c r="I19" s="18" t="s">
        <v>125</v>
      </c>
      <c r="J19" s="19" t="s">
        <v>126</v>
      </c>
      <c r="K19" t="s">
        <v>128</v>
      </c>
    </row>
    <row r="20" spans="2:11" x14ac:dyDescent="0.3">
      <c r="B20" t="s">
        <v>133</v>
      </c>
      <c r="C20" s="26" t="s">
        <v>136</v>
      </c>
      <c r="D20" s="26"/>
      <c r="E20">
        <v>1</v>
      </c>
      <c r="F20">
        <v>20</v>
      </c>
      <c r="G20">
        <v>0.32500000000000001</v>
      </c>
      <c r="H20">
        <f t="shared" si="1"/>
        <v>6.5</v>
      </c>
      <c r="I20" s="19" t="s">
        <v>127</v>
      </c>
    </row>
    <row r="21" spans="2:11" x14ac:dyDescent="0.3">
      <c r="B21" t="s">
        <v>134</v>
      </c>
      <c r="C21" s="26" t="s">
        <v>137</v>
      </c>
      <c r="D21" s="26"/>
      <c r="E21">
        <v>1</v>
      </c>
      <c r="F21">
        <v>10</v>
      </c>
      <c r="G21">
        <v>0.20100000000000001</v>
      </c>
      <c r="H21">
        <f t="shared" si="1"/>
        <v>2.0100000000000002</v>
      </c>
      <c r="I21" s="19" t="s">
        <v>127</v>
      </c>
    </row>
    <row r="22" spans="2:11" x14ac:dyDescent="0.3">
      <c r="B22" t="s">
        <v>135</v>
      </c>
      <c r="C22" s="26" t="s">
        <v>137</v>
      </c>
      <c r="D22" s="26"/>
      <c r="E22">
        <v>1</v>
      </c>
      <c r="F22">
        <v>10</v>
      </c>
      <c r="G22">
        <v>0.29799999999999999</v>
      </c>
      <c r="H22">
        <f t="shared" si="1"/>
        <v>2.98</v>
      </c>
      <c r="I22" s="19" t="s">
        <v>127</v>
      </c>
    </row>
    <row r="23" spans="2:11" x14ac:dyDescent="0.3">
      <c r="B23" t="s">
        <v>139</v>
      </c>
      <c r="C23" s="26" t="s">
        <v>140</v>
      </c>
      <c r="D23" s="26"/>
      <c r="E23">
        <v>1</v>
      </c>
      <c r="F23">
        <v>5</v>
      </c>
      <c r="G23">
        <v>1.46</v>
      </c>
      <c r="H23">
        <f t="shared" si="1"/>
        <v>7.3</v>
      </c>
      <c r="I23" s="18" t="s">
        <v>127</v>
      </c>
      <c r="J23" s="18" t="s">
        <v>126</v>
      </c>
    </row>
    <row r="24" spans="2:11" x14ac:dyDescent="0.3">
      <c r="H24">
        <f>SUM(H4:H23)</f>
        <v>105.06000000000002</v>
      </c>
    </row>
  </sheetData>
  <mergeCells count="8">
    <mergeCell ref="C23:D23"/>
    <mergeCell ref="C21:D21"/>
    <mergeCell ref="C22:D22"/>
    <mergeCell ref="C15:D15"/>
    <mergeCell ref="C17:D17"/>
    <mergeCell ref="C18:D18"/>
    <mergeCell ref="C19:D19"/>
    <mergeCell ref="C20:D20"/>
  </mergeCells>
  <hyperlinks>
    <hyperlink ref="I19" r:id="rId1" xr:uid="{9D179B2B-B626-4039-AA10-913C8FAD0832}"/>
    <hyperlink ref="J19" r:id="rId2" xr:uid="{26F16354-B81D-4BE8-B630-D6513999E7F0}"/>
    <hyperlink ref="I17" r:id="rId3" xr:uid="{66DAC25C-F7F8-4F97-A074-115EEA2D318D}"/>
    <hyperlink ref="J17" r:id="rId4" xr:uid="{A522D6C4-322F-4A71-8B03-5EE1BD569785}"/>
    <hyperlink ref="I18" r:id="rId5" xr:uid="{3109E308-12C9-49B8-8316-305703109B34}"/>
    <hyperlink ref="J18" r:id="rId6" xr:uid="{5CF39041-3CD7-4C16-B34D-FB9A74FDA35B}"/>
    <hyperlink ref="I16" r:id="rId7" xr:uid="{443A547F-EE9E-48EB-9ADB-16BD67D0F72B}"/>
    <hyperlink ref="I15" r:id="rId8" xr:uid="{6CAEB753-E0CC-416D-9B8B-A0D263603741}"/>
    <hyperlink ref="J15" r:id="rId9" xr:uid="{65CB9033-2BCB-424E-B18F-DD3C40E85CF3}"/>
    <hyperlink ref="I14" r:id="rId10" xr:uid="{C6DA9541-FB70-4077-B933-1D2F8E27B0E8}"/>
    <hyperlink ref="I13" r:id="rId11" xr:uid="{E4A951AA-778C-41BF-AFED-71A83F2C0ED2}"/>
    <hyperlink ref="I12" r:id="rId12" xr:uid="{F17FC927-CB90-4F06-9463-1E4911D99779}"/>
    <hyperlink ref="I11" r:id="rId13" xr:uid="{ABD7E977-C753-47B9-92CC-ABA785EA32D3}"/>
    <hyperlink ref="I4" r:id="rId14" xr:uid="{278B6474-1F62-4FB8-881D-9FF02A7D4D5A}"/>
    <hyperlink ref="I5" r:id="rId15" xr:uid="{B4AFCEC6-5DA7-4582-AD78-D66CCBF86176}"/>
    <hyperlink ref="I6" r:id="rId16" xr:uid="{724D5967-ABD5-41FC-A7A1-BC1BB7C390B9}"/>
    <hyperlink ref="I7" r:id="rId17" xr:uid="{D78C49D7-D80E-477D-9A42-323B32F63CB6}"/>
    <hyperlink ref="I8" r:id="rId18" xr:uid="{ABE4195D-8CEF-4A0D-B2F4-CB686BAF7C2E}"/>
    <hyperlink ref="I9" r:id="rId19" xr:uid="{4166BAF3-215D-4FBB-9C64-01C3A559DA81}"/>
    <hyperlink ref="I10" r:id="rId20" xr:uid="{076C426A-2208-426E-81E0-BA021378284D}"/>
    <hyperlink ref="I22" r:id="rId21" xr:uid="{490C924E-D178-4DA4-9A4B-3E933BDE8659}"/>
    <hyperlink ref="I20" r:id="rId22" xr:uid="{92260A3C-A8F1-4E2D-90AB-1314F89C7FD9}"/>
    <hyperlink ref="I21" r:id="rId23" xr:uid="{557E7441-45FF-4F6D-A569-D99FF79231A5}"/>
    <hyperlink ref="I23" r:id="rId24" display="https://www.tme.eu/pl/details/erbrg2r50v/bezpieczniki-smd-1206-szybkie/panasonic/" xr:uid="{8E27A859-9E82-4E54-9DF6-D99CAC4FF851}"/>
    <hyperlink ref="J23" r:id="rId25" xr:uid="{D9B9EC61-E2C6-4995-A462-46200B92B1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Wartości</vt:lpstr>
      <vt:lpstr>Obliczenia</vt:lpstr>
      <vt:lpstr>Dokumentacja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Andrzejak (292933)</dc:creator>
  <cp:lastModifiedBy>Piotr Mijakowski (286937)</cp:lastModifiedBy>
  <dcterms:created xsi:type="dcterms:W3CDTF">2025-12-17T08:36:27Z</dcterms:created>
  <dcterms:modified xsi:type="dcterms:W3CDTF">2025-12-26T23:37:17Z</dcterms:modified>
</cp:coreProperties>
</file>